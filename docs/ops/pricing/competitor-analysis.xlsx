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Overview" sheetId="1" state="visible" r:id="rId1"/>
    <sheet xmlns:r="http://schemas.openxmlformats.org/officeDocument/2006/relationships" name="Price Comparison" sheetId="2" state="visible" r:id="rId2"/>
    <sheet xmlns:r="http://schemas.openxmlformats.org/officeDocument/2006/relationships" name="CaliLean Pricing" sheetId="3" state="visible" r:id="rId3"/>
    <sheet xmlns:r="http://schemas.openxmlformats.org/officeDocument/2006/relationships" name="Volume Dis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</font>
    <font>
      <b val="1"/>
      <color rgb="00276749"/>
    </font>
    <font>
      <color rgb="001155CC"/>
      <sz val="10"/>
      <u val="single"/>
    </font>
    <font>
      <b val="1"/>
    </font>
    <font>
      <b val="1"/>
      <color rgb="001155CC"/>
      <u val="single"/>
    </font>
    <font>
      <color rgb="001155CC"/>
      <u val="single"/>
    </font>
  </fonts>
  <fills count="6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7FAFC"/>
        <bgColor rgb="00F7FAFC"/>
      </patternFill>
    </fill>
    <fill>
      <patternFill patternType="solid">
        <fgColor rgb="00C6EFCE"/>
        <bgColor rgb="00C6EFCE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3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pivotButton="0" quotePrefix="0" xfId="0"/>
    <xf numFmtId="164" fontId="3" fillId="5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4" fillId="0" borderId="1" pivotButton="0" quotePrefix="0" xfId="0"/>
    <xf numFmtId="164" fontId="6" fillId="3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6" customWidth="1" min="4" max="4"/>
    <col width="10" customWidth="1" min="5" max="5"/>
    <col width="12" customWidth="1" min="6" max="6"/>
    <col width="35" customWidth="1" min="7" max="7"/>
    <col width="45" customWidth="1" min="8" max="8"/>
    <col width="40" customWidth="1" min="9" max="9"/>
  </cols>
  <sheetData>
    <row r="1">
      <c r="A1" s="1" t="inlineStr">
        <is>
          <t>Competitor</t>
        </is>
      </c>
      <c r="B1" s="1" t="inlineStr">
        <is>
          <t>URL</t>
        </is>
      </c>
      <c r="C1" s="1" t="inlineStr">
        <is>
          <t>Shipping</t>
        </is>
      </c>
      <c r="D1" s="1" t="inlineStr">
        <is>
          <t>Free Ship Threshold</t>
        </is>
      </c>
      <c r="E1" s="1" t="inlineStr">
        <is>
          <t>Products</t>
        </is>
      </c>
      <c r="F1" s="1" t="inlineStr">
        <is>
          <t>Pricing Tier</t>
        </is>
      </c>
      <c r="G1" s="1" t="inlineStr">
        <is>
          <t>Volume Discounts</t>
        </is>
      </c>
      <c r="H1" s="1" t="inlineStr">
        <is>
          <t>Strengths</t>
        </is>
      </c>
      <c r="I1" s="1" t="inlineStr">
        <is>
          <t>Weaknesses</t>
        </is>
      </c>
    </row>
    <row r="2">
      <c r="A2" s="2" t="inlineStr">
        <is>
          <t>Ion Peptide</t>
        </is>
      </c>
      <c r="B2" s="2" t="inlineStr">
        <is>
          <t>ionpeptide.com</t>
        </is>
      </c>
      <c r="C2" s="2" t="inlineStr">
        <is>
          <t>$12</t>
        </is>
      </c>
      <c r="D2" s="2" t="inlineStr">
        <is>
          <t>$350</t>
        </is>
      </c>
      <c r="E2" s="2" t="inlineStr">
        <is>
          <t>80+</t>
        </is>
      </c>
      <c r="F2" s="2" t="inlineStr">
        <is>
          <t>Budget-Low</t>
        </is>
      </c>
      <c r="G2" s="2" t="inlineStr">
        <is>
          <t>10% (4-5), 16% (6-9), 25% (10+)</t>
        </is>
      </c>
      <c r="H2" s="2" t="inlineStr">
        <is>
          <t>Lowest prices, huge catalog, flat pricing across sizes, volume tiers</t>
        </is>
      </c>
      <c r="I2" s="2" t="inlineStr">
        <is>
          <t>Newer brand, less premium positioning</t>
        </is>
      </c>
    </row>
    <row r="3">
      <c r="A3" s="3" t="inlineStr">
        <is>
          <t>Core Peptides</t>
        </is>
      </c>
      <c r="B3" s="3" t="inlineStr">
        <is>
          <t>corepeptides.com</t>
        </is>
      </c>
      <c r="C3" s="3" t="inlineStr">
        <is>
          <t>~$10</t>
        </is>
      </c>
      <c r="D3" s="3" t="inlineStr">
        <is>
          <t>$200</t>
        </is>
      </c>
      <c r="E3" s="3" t="inlineStr">
        <is>
          <t>90+</t>
        </is>
      </c>
      <c r="F3" s="3" t="inlineStr">
        <is>
          <t>Mid</t>
        </is>
      </c>
      <c r="G3" s="3" t="inlineStr">
        <is>
          <t>Bulk pricing tables (not public)</t>
        </is>
      </c>
      <c r="H3" s="3" t="inlineStr">
        <is>
          <t>Massive catalog, established, detailed COAs</t>
        </is>
      </c>
      <c r="I3" s="3" t="inlineStr">
        <is>
          <t>Higher prices, JS-heavy site</t>
        </is>
      </c>
    </row>
    <row r="4">
      <c r="A4" s="2" t="inlineStr">
        <is>
          <t>Biotech Peptides</t>
        </is>
      </c>
      <c r="B4" s="2" t="inlineStr">
        <is>
          <t>biotechpeptides.com</t>
        </is>
      </c>
      <c r="C4" s="2" t="inlineStr">
        <is>
          <t>Free $200+</t>
        </is>
      </c>
      <c r="D4" s="2" t="inlineStr">
        <is>
          <t>$200</t>
        </is>
      </c>
      <c r="E4" s="2" t="inlineStr">
        <is>
          <t>85+</t>
        </is>
      </c>
      <c r="F4" s="2" t="inlineStr">
        <is>
          <t>Mid</t>
        </is>
      </c>
      <c r="G4" s="2" t="inlineStr">
        <is>
          <t>Bulk pricing tables on each product</t>
        </is>
      </c>
      <c r="H4" s="2" t="inlineStr">
        <is>
          <t>US-made, high purity claims, established brand</t>
        </is>
      </c>
      <c r="I4" s="2" t="inlineStr">
        <is>
          <t>Similar pricing to Core, no GLP compounds visible</t>
        </is>
      </c>
    </row>
    <row r="5">
      <c r="A5" s="3" t="inlineStr">
        <is>
          <t>Verified Peptides</t>
        </is>
      </c>
      <c r="B5" s="3" t="inlineStr">
        <is>
          <t>verifiedpeptides.com</t>
        </is>
      </c>
      <c r="C5" s="3" t="inlineStr">
        <is>
          <t>~$10</t>
        </is>
      </c>
      <c r="D5" s="3" t="inlineStr">
        <is>
          <t>Unknown</t>
        </is>
      </c>
      <c r="E5" s="3" t="inlineStr">
        <is>
          <t>27+</t>
        </is>
      </c>
      <c r="F5" s="3" t="inlineStr">
        <is>
          <t>Mid-Premium</t>
        </is>
      </c>
      <c r="G5" s="3" t="inlineStr">
        <is>
          <t>Up to 15% order quantity discount</t>
        </is>
      </c>
      <c r="H5" s="3" t="inlineStr">
        <is>
          <t>Good blend selection, NAD+ 1000mg</t>
        </is>
      </c>
      <c r="I5" s="3" t="inlineStr">
        <is>
          <t>Many items out of stock, smaller catalog</t>
        </is>
      </c>
    </row>
    <row r="6">
      <c r="A6" s="2" t="inlineStr">
        <is>
          <t>Purgo Labs</t>
        </is>
      </c>
      <c r="B6" s="2" t="inlineStr">
        <is>
          <t>purgolabs.com</t>
        </is>
      </c>
      <c r="C6" s="2" t="inlineStr">
        <is>
          <t>~$10</t>
        </is>
      </c>
      <c r="D6" s="2" t="inlineStr">
        <is>
          <t>Unknown</t>
        </is>
      </c>
      <c r="E6" s="2" t="inlineStr">
        <is>
          <t>16+</t>
        </is>
      </c>
      <c r="F6" s="2" t="inlineStr">
        <is>
          <t>Budget-Mid</t>
        </is>
      </c>
      <c r="G6" s="2" t="inlineStr">
        <is>
          <t>15% off $70+ (promo code)</t>
        </is>
      </c>
      <c r="H6" s="2" t="inlineStr">
        <is>
          <t>Very competitive GLP pricing, carries KLOW</t>
        </is>
      </c>
      <c r="I6" s="2" t="inlineStr">
        <is>
          <t>Smaller catalog, many out of stock</t>
        </is>
      </c>
    </row>
    <row r="7">
      <c r="A7" s="3" t="inlineStr">
        <is>
          <t>Flawless Compounds</t>
        </is>
      </c>
      <c r="B7" s="3" t="inlineStr">
        <is>
          <t>flawlesscompounds.com</t>
        </is>
      </c>
      <c r="C7" s="3" t="inlineStr">
        <is>
          <t>$14.95</t>
        </is>
      </c>
      <c r="D7" s="3" t="inlineStr">
        <is>
          <t>$150</t>
        </is>
      </c>
      <c r="E7" s="3" t="inlineStr">
        <is>
          <t>57+</t>
        </is>
      </c>
      <c r="F7" s="3" t="inlineStr">
        <is>
          <t>Mid-Premium</t>
        </is>
      </c>
      <c r="G7" s="3" t="inlineStr">
        <is>
          <t>Points rewards system</t>
        </is>
      </c>
      <c r="H7" s="3" t="inlineStr">
        <is>
          <t>Great COAs, spray/capsule forms, KLOW/GLOW</t>
        </is>
      </c>
      <c r="I7" s="3" t="inlineStr">
        <is>
          <t>Account required, premium pricing on some items</t>
        </is>
      </c>
    </row>
    <row r="8">
      <c r="A8" s="2" t="inlineStr">
        <is>
          <t>Mile High Compounds</t>
        </is>
      </c>
      <c r="B8" s="2" t="inlineStr">
        <is>
          <t>milehighcompounds.is</t>
        </is>
      </c>
      <c r="C8" s="2" t="inlineStr">
        <is>
          <t>$14.99</t>
        </is>
      </c>
      <c r="D8" s="2" t="inlineStr">
        <is>
          <t>$300</t>
        </is>
      </c>
      <c r="E8" s="2" t="inlineStr">
        <is>
          <t>47+</t>
        </is>
      </c>
      <c r="F8" s="2" t="inlineStr">
        <is>
          <t>Mid-Premium</t>
        </is>
      </c>
      <c r="G8" s="2" t="inlineStr">
        <is>
          <t>Up to 20% off select, 10% new accounts</t>
        </is>
      </c>
      <c r="H8" s="2" t="inlineStr">
        <is>
          <t>7x tested, cGMP certified, Colorado-based</t>
        </is>
      </c>
      <c r="I8" s="2" t="inlineStr">
        <is>
          <t>Account required, higher GLP prices</t>
        </is>
      </c>
    </row>
    <row r="9">
      <c r="A9" s="3" t="inlineStr">
        <is>
          <t>Crush Research</t>
        </is>
      </c>
      <c r="B9" s="3" t="inlineStr">
        <is>
          <t>crushresearch.shop</t>
        </is>
      </c>
      <c r="C9" s="3" t="inlineStr">
        <is>
          <t>~$12</t>
        </is>
      </c>
      <c r="D9" s="3" t="inlineStr">
        <is>
          <t>Unknown</t>
        </is>
      </c>
      <c r="E9" s="3" t="inlineStr">
        <is>
          <t>11+</t>
        </is>
      </c>
      <c r="F9" s="3" t="inlineStr">
        <is>
          <t>Mid</t>
        </is>
      </c>
      <c r="G9" s="3" t="inlineStr">
        <is>
          <t>30% off bulk (5-packs)</t>
        </is>
      </c>
      <c r="H9" s="3" t="inlineStr">
        <is>
          <t>Veteran owned, 21+ age gate, good KLOW/blend pricing</t>
        </is>
      </c>
      <c r="I9" s="3" t="inlineStr">
        <is>
          <t>Account required, small catalog, limited SKUs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18" customWidth="1" min="8" max="8"/>
    <col width="12" customWidth="1" min="9" max="9"/>
    <col width="14" customWidth="1" min="10" max="10"/>
    <col width="12" customWidth="1" min="11" max="11"/>
  </cols>
  <sheetData>
    <row r="1">
      <c r="A1" s="1" t="inlineStr">
        <is>
          <t>Product</t>
        </is>
      </c>
      <c r="B1" s="1" t="inlineStr">
        <is>
          <t>Variant</t>
        </is>
      </c>
      <c r="C1" s="1" t="inlineStr">
        <is>
          <t>Ion Peptide</t>
        </is>
      </c>
      <c r="D1" s="1" t="inlineStr">
        <is>
          <t>Core Peptides</t>
        </is>
      </c>
      <c r="E1" s="1" t="inlineStr">
        <is>
          <t>Biotech Peptides</t>
        </is>
      </c>
      <c r="F1" s="1" t="inlineStr">
        <is>
          <t>Verified Peptides</t>
        </is>
      </c>
      <c r="G1" s="1" t="inlineStr">
        <is>
          <t>Purgo Labs</t>
        </is>
      </c>
      <c r="H1" s="1" t="inlineStr">
        <is>
          <t>Flawless Compounds</t>
        </is>
      </c>
      <c r="I1" s="1" t="inlineStr">
        <is>
          <t>Mile High</t>
        </is>
      </c>
      <c r="J1" s="1" t="inlineStr">
        <is>
          <t>Crush Research</t>
        </is>
      </c>
      <c r="K1" s="1" t="inlineStr">
        <is>
          <t>CaliLean</t>
        </is>
      </c>
    </row>
    <row r="2">
      <c r="A2" s="18" t="inlineStr">
        <is>
          <t>BPC-157</t>
        </is>
      </c>
      <c r="B2" s="18" t="inlineStr">
        <is>
          <t>5mg</t>
        </is>
      </c>
      <c r="C2" s="11" t="n">
        <v>29</v>
      </c>
      <c r="D2" s="11" t="n">
        <v>52</v>
      </c>
      <c r="E2" s="11" t="n">
        <v>52</v>
      </c>
      <c r="F2" s="12" t="inlineStr">
        <is>
          <t>—</t>
        </is>
      </c>
      <c r="G2" s="8" t="n">
        <v>24.99</v>
      </c>
      <c r="H2" s="11" t="n">
        <v>25</v>
      </c>
      <c r="I2" s="12" t="inlineStr">
        <is>
          <t>—</t>
        </is>
      </c>
      <c r="J2" s="12" t="inlineStr">
        <is>
          <t>—</t>
        </is>
      </c>
      <c r="K2" s="19" t="n">
        <v>34.99</v>
      </c>
    </row>
    <row r="3">
      <c r="A3" s="20" t="inlineStr">
        <is>
          <t>BPC-157</t>
        </is>
      </c>
      <c r="B3" s="20" t="inlineStr">
        <is>
          <t>10mg</t>
        </is>
      </c>
      <c r="C3" s="8" t="n">
        <v>29</v>
      </c>
      <c r="D3" s="6" t="n">
        <v>97</v>
      </c>
      <c r="E3" s="6" t="n">
        <v>92</v>
      </c>
      <c r="F3" s="6" t="n">
        <v>53</v>
      </c>
      <c r="G3" s="6" t="n">
        <v>44.99</v>
      </c>
      <c r="H3" s="6" t="n">
        <v>45</v>
      </c>
      <c r="I3" s="6" t="n">
        <v>49.99</v>
      </c>
      <c r="J3" s="12" t="inlineStr">
        <is>
          <t>—</t>
        </is>
      </c>
      <c r="K3" s="19" t="n">
        <v>59.99</v>
      </c>
    </row>
    <row r="4">
      <c r="A4" s="18" t="inlineStr">
        <is>
          <t>TB-500</t>
        </is>
      </c>
      <c r="B4" s="18" t="inlineStr">
        <is>
          <t>5mg</t>
        </is>
      </c>
      <c r="C4" s="8" t="n">
        <v>29</v>
      </c>
      <c r="D4" s="11" t="n">
        <v>78</v>
      </c>
      <c r="E4" s="12" t="inlineStr">
        <is>
          <t>—</t>
        </is>
      </c>
      <c r="F4" s="12" t="inlineStr">
        <is>
          <t>—</t>
        </is>
      </c>
      <c r="G4" s="12" t="inlineStr">
        <is>
          <t>—</t>
        </is>
      </c>
      <c r="H4" s="12" t="inlineStr">
        <is>
          <t>—</t>
        </is>
      </c>
      <c r="I4" s="12" t="inlineStr">
        <is>
          <t>—</t>
        </is>
      </c>
      <c r="J4" s="12" t="inlineStr">
        <is>
          <t>—</t>
        </is>
      </c>
      <c r="K4" s="19" t="n">
        <v>39.99</v>
      </c>
    </row>
    <row r="5">
      <c r="A5" s="20" t="inlineStr">
        <is>
          <t>TB-500</t>
        </is>
      </c>
      <c r="B5" s="20" t="inlineStr">
        <is>
          <t>10mg</t>
        </is>
      </c>
      <c r="C5" s="8" t="n">
        <v>29</v>
      </c>
      <c r="D5" s="6" t="n">
        <v>140</v>
      </c>
      <c r="E5" s="12" t="inlineStr">
        <is>
          <t>—</t>
        </is>
      </c>
      <c r="F5" s="6" t="n">
        <v>62</v>
      </c>
      <c r="G5" s="6" t="n">
        <v>49.99</v>
      </c>
      <c r="H5" s="6" t="n">
        <v>46</v>
      </c>
      <c r="I5" s="6" t="n">
        <v>59.99</v>
      </c>
      <c r="J5" s="12" t="inlineStr">
        <is>
          <t>—</t>
        </is>
      </c>
      <c r="K5" s="19" t="n">
        <v>69.98999999999999</v>
      </c>
    </row>
    <row r="6">
      <c r="A6" s="18" t="inlineStr">
        <is>
          <t>GHK-Cu</t>
        </is>
      </c>
      <c r="B6" s="18" t="inlineStr">
        <is>
          <t>50mg</t>
        </is>
      </c>
      <c r="C6" s="8" t="n">
        <v>29</v>
      </c>
      <c r="D6" s="11" t="n">
        <v>58</v>
      </c>
      <c r="E6" s="11" t="n">
        <v>51</v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1" t="n">
        <v>49.99</v>
      </c>
      <c r="J6" s="12" t="inlineStr">
        <is>
          <t>—</t>
        </is>
      </c>
      <c r="K6" s="19" t="n">
        <v>39.99</v>
      </c>
    </row>
    <row r="7">
      <c r="A7" s="20" t="inlineStr">
        <is>
          <t>GHK-Cu</t>
        </is>
      </c>
      <c r="B7" s="20" t="inlineStr">
        <is>
          <t>100mg</t>
        </is>
      </c>
      <c r="C7" s="6" t="n">
        <v>45</v>
      </c>
      <c r="D7" s="6" t="n">
        <v>197</v>
      </c>
      <c r="E7" s="12" t="inlineStr">
        <is>
          <t>—</t>
        </is>
      </c>
      <c r="F7" s="6" t="n">
        <v>44.5</v>
      </c>
      <c r="G7" s="12" t="inlineStr">
        <is>
          <t>—</t>
        </is>
      </c>
      <c r="H7" s="6" t="n">
        <v>45</v>
      </c>
      <c r="I7" s="12" t="inlineStr">
        <is>
          <t>—</t>
        </is>
      </c>
      <c r="J7" s="8" t="n">
        <v>29</v>
      </c>
      <c r="K7" s="19" t="n">
        <v>69.98999999999999</v>
      </c>
    </row>
    <row r="8">
      <c r="A8" s="18" t="inlineStr">
        <is>
          <t>Wolverine (BPC/TB)</t>
        </is>
      </c>
      <c r="B8" s="18" t="inlineStr">
        <is>
          <t>5mg/5mg</t>
        </is>
      </c>
      <c r="C8" s="8" t="n">
        <v>48</v>
      </c>
      <c r="D8" s="11" t="n">
        <v>105</v>
      </c>
      <c r="E8" s="11" t="n">
        <v>115</v>
      </c>
      <c r="F8" s="12" t="inlineStr">
        <is>
          <t>—</t>
        </is>
      </c>
      <c r="G8" s="12" t="inlineStr">
        <is>
          <t>—</t>
        </is>
      </c>
      <c r="H8" s="11" t="n">
        <v>150</v>
      </c>
      <c r="I8" s="11" t="n">
        <v>119.99</v>
      </c>
      <c r="J8" s="12" t="inlineStr">
        <is>
          <t>—</t>
        </is>
      </c>
      <c r="K8" s="19" t="n">
        <v>69.98999999999999</v>
      </c>
    </row>
    <row r="9">
      <c r="A9" s="20" t="inlineStr">
        <is>
          <t>Wolverine (BPC/TB)</t>
        </is>
      </c>
      <c r="B9" s="20" t="inlineStr">
        <is>
          <t>10mg/10mg</t>
        </is>
      </c>
      <c r="C9" s="8" t="n">
        <v>48</v>
      </c>
      <c r="D9" s="6" t="n">
        <v>195</v>
      </c>
      <c r="E9" s="12" t="inlineStr">
        <is>
          <t>—</t>
        </is>
      </c>
      <c r="F9" s="6" t="n">
        <v>107</v>
      </c>
      <c r="G9" s="12" t="inlineStr">
        <is>
          <t>—</t>
        </is>
      </c>
      <c r="H9" s="6" t="n">
        <v>60</v>
      </c>
      <c r="I9" s="12" t="inlineStr">
        <is>
          <t>—</t>
        </is>
      </c>
      <c r="J9" s="12" t="inlineStr">
        <is>
          <t>—</t>
        </is>
      </c>
      <c r="K9" s="19" t="n">
        <v>99.98999999999999</v>
      </c>
    </row>
    <row r="10">
      <c r="A10" s="18" t="inlineStr">
        <is>
          <t>Semaglutide</t>
        </is>
      </c>
      <c r="B10" s="18" t="inlineStr">
        <is>
          <t>10mg</t>
        </is>
      </c>
      <c r="C10" s="8" t="n">
        <v>39</v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1" t="n">
        <v>85</v>
      </c>
      <c r="I10" s="11" t="n">
        <v>69.98999999999999</v>
      </c>
      <c r="J10" s="12" t="inlineStr">
        <is>
          <t>—</t>
        </is>
      </c>
      <c r="K10" s="19" t="n">
        <v>69.98999999999999</v>
      </c>
    </row>
    <row r="11">
      <c r="A11" s="20" t="inlineStr">
        <is>
          <t>Semaglutide</t>
        </is>
      </c>
      <c r="B11" s="20" t="inlineStr">
        <is>
          <t>20mg</t>
        </is>
      </c>
      <c r="C11" s="8" t="n">
        <v>39</v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9" t="n">
        <v>119.99</v>
      </c>
    </row>
    <row r="12">
      <c r="A12" s="18" t="inlineStr">
        <is>
          <t>Semaglutide</t>
        </is>
      </c>
      <c r="B12" s="18" t="inlineStr">
        <is>
          <t>30mg</t>
        </is>
      </c>
      <c r="C12" s="8" t="n">
        <v>39</v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2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9" t="n">
        <v>159.99</v>
      </c>
    </row>
    <row r="13">
      <c r="A13" s="20" t="inlineStr">
        <is>
          <t>Tirzepatide</t>
        </is>
      </c>
      <c r="B13" s="20" t="inlineStr">
        <is>
          <t>10mg</t>
        </is>
      </c>
      <c r="C13" s="8" t="n">
        <v>49</v>
      </c>
      <c r="D13" s="12" t="inlineStr">
        <is>
          <t>—</t>
        </is>
      </c>
      <c r="E13" s="12" t="inlineStr">
        <is>
          <t>—</t>
        </is>
      </c>
      <c r="F13" s="12" t="inlineStr">
        <is>
          <t>—</t>
        </is>
      </c>
      <c r="G13" s="6" t="n">
        <v>49.99</v>
      </c>
      <c r="H13" s="12" t="inlineStr">
        <is>
          <t>—</t>
        </is>
      </c>
      <c r="I13" s="6" t="n">
        <v>89.98999999999999</v>
      </c>
      <c r="J13" s="12" t="inlineStr">
        <is>
          <t>—</t>
        </is>
      </c>
      <c r="K13" s="19" t="n">
        <v>79.98999999999999</v>
      </c>
    </row>
    <row r="14">
      <c r="A14" s="18" t="inlineStr">
        <is>
          <t>Tirzepatide</t>
        </is>
      </c>
      <c r="B14" s="18" t="inlineStr">
        <is>
          <t>20mg</t>
        </is>
      </c>
      <c r="C14" s="8" t="n">
        <v>49</v>
      </c>
      <c r="D14" s="12" t="inlineStr">
        <is>
          <t>—</t>
        </is>
      </c>
      <c r="E14" s="12" t="inlineStr">
        <is>
          <t>—</t>
        </is>
      </c>
      <c r="F14" s="12" t="inlineStr">
        <is>
          <t>—</t>
        </is>
      </c>
      <c r="G14" s="11" t="n">
        <v>104.99</v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9" t="n">
        <v>139.99</v>
      </c>
    </row>
    <row r="15">
      <c r="A15" s="20" t="inlineStr">
        <is>
          <t>Tirzepatide</t>
        </is>
      </c>
      <c r="B15" s="20" t="inlineStr">
        <is>
          <t>30mg</t>
        </is>
      </c>
      <c r="C15" s="8" t="n">
        <v>49</v>
      </c>
      <c r="D15" s="12" t="inlineStr">
        <is>
          <t>—</t>
        </is>
      </c>
      <c r="E15" s="12" t="inlineStr">
        <is>
          <t>—</t>
        </is>
      </c>
      <c r="F15" s="12" t="inlineStr">
        <is>
          <t>—</t>
        </is>
      </c>
      <c r="G15" s="12" t="inlineStr">
        <is>
          <t>—</t>
        </is>
      </c>
      <c r="H15" s="6" t="n">
        <v>150</v>
      </c>
      <c r="I15" s="6" t="n">
        <v>89.98999999999999</v>
      </c>
      <c r="J15" s="12" t="inlineStr">
        <is>
          <t>—</t>
        </is>
      </c>
      <c r="K15" s="19" t="n">
        <v>189.99</v>
      </c>
    </row>
    <row r="16">
      <c r="A16" s="18" t="inlineStr">
        <is>
          <t>Retatrutide</t>
        </is>
      </c>
      <c r="B16" s="18" t="inlineStr">
        <is>
          <t>10mg</t>
        </is>
      </c>
      <c r="C16" s="8" t="n">
        <v>39</v>
      </c>
      <c r="D16" s="12" t="inlineStr">
        <is>
          <t>—</t>
        </is>
      </c>
      <c r="E16" s="12" t="inlineStr">
        <is>
          <t>—</t>
        </is>
      </c>
      <c r="F16" s="12" t="inlineStr">
        <is>
          <t>—</t>
        </is>
      </c>
      <c r="G16" s="11" t="n">
        <v>64.98999999999999</v>
      </c>
      <c r="H16" s="11" t="n">
        <v>100</v>
      </c>
      <c r="I16" s="11" t="n">
        <v>59.99</v>
      </c>
      <c r="J16" s="12" t="inlineStr">
        <is>
          <t>—</t>
        </is>
      </c>
      <c r="K16" s="19" t="n">
        <v>79.98999999999999</v>
      </c>
    </row>
    <row r="17">
      <c r="A17" s="20" t="inlineStr">
        <is>
          <t>Retatrutide</t>
        </is>
      </c>
      <c r="B17" s="20" t="inlineStr">
        <is>
          <t>20mg</t>
        </is>
      </c>
      <c r="C17" s="8" t="n">
        <v>39</v>
      </c>
      <c r="D17" s="12" t="inlineStr">
        <is>
          <t>—</t>
        </is>
      </c>
      <c r="E17" s="12" t="inlineStr">
        <is>
          <t>—</t>
        </is>
      </c>
      <c r="F17" s="12" t="inlineStr">
        <is>
          <t>—</t>
        </is>
      </c>
      <c r="G17" s="6" t="n">
        <v>124.99</v>
      </c>
      <c r="H17" s="6" t="n">
        <v>150</v>
      </c>
      <c r="I17" s="12" t="inlineStr">
        <is>
          <t>—</t>
        </is>
      </c>
      <c r="J17" s="12" t="inlineStr">
        <is>
          <t>—</t>
        </is>
      </c>
      <c r="K17" s="19" t="n">
        <v>149.99</v>
      </c>
    </row>
    <row r="18">
      <c r="A18" s="18" t="inlineStr">
        <is>
          <t>Retatrutide</t>
        </is>
      </c>
      <c r="B18" s="18" t="inlineStr">
        <is>
          <t>30mg</t>
        </is>
      </c>
      <c r="C18" s="8" t="n">
        <v>39</v>
      </c>
      <c r="D18" s="12" t="inlineStr">
        <is>
          <t>—</t>
        </is>
      </c>
      <c r="E18" s="12" t="inlineStr">
        <is>
          <t>—</t>
        </is>
      </c>
      <c r="F18" s="12" t="inlineStr">
        <is>
          <t>—</t>
        </is>
      </c>
      <c r="G18" s="11" t="n">
        <v>199</v>
      </c>
      <c r="H18" s="11" t="n">
        <v>150</v>
      </c>
      <c r="I18" s="11" t="n">
        <v>249.99</v>
      </c>
      <c r="J18" s="12" t="inlineStr">
        <is>
          <t>—</t>
        </is>
      </c>
      <c r="K18" s="19" t="n">
        <v>219.99</v>
      </c>
    </row>
    <row r="19">
      <c r="A19" s="20" t="inlineStr">
        <is>
          <t>Ipamorelin</t>
        </is>
      </c>
      <c r="B19" s="20" t="inlineStr">
        <is>
          <t>5mg</t>
        </is>
      </c>
      <c r="C19" s="8" t="n">
        <v>35</v>
      </c>
      <c r="D19" s="6" t="n">
        <v>43</v>
      </c>
      <c r="E19" s="12" t="inlineStr">
        <is>
          <t>—</t>
        </is>
      </c>
      <c r="F19" s="12" t="inlineStr">
        <is>
          <t>—</t>
        </is>
      </c>
      <c r="G19" s="12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9" t="n">
        <v>34.99</v>
      </c>
    </row>
    <row r="20">
      <c r="A20" s="18" t="inlineStr">
        <is>
          <t>Ipamorelin</t>
        </is>
      </c>
      <c r="B20" s="18" t="inlineStr">
        <is>
          <t>10mg</t>
        </is>
      </c>
      <c r="C20" s="8" t="n">
        <v>35</v>
      </c>
      <c r="D20" s="12" t="inlineStr">
        <is>
          <t>—</t>
        </is>
      </c>
      <c r="E20" s="12" t="inlineStr">
        <is>
          <t>—</t>
        </is>
      </c>
      <c r="F20" s="11" t="n">
        <v>53</v>
      </c>
      <c r="G20" s="12" t="inlineStr">
        <is>
          <t>—</t>
        </is>
      </c>
      <c r="H20" s="11" t="n">
        <v>60</v>
      </c>
      <c r="I20" s="11" t="n">
        <v>59.99</v>
      </c>
      <c r="J20" s="12" t="inlineStr">
        <is>
          <t>—</t>
        </is>
      </c>
      <c r="K20" s="19" t="n">
        <v>54.99</v>
      </c>
    </row>
    <row r="21">
      <c r="A21" s="20" t="inlineStr">
        <is>
          <t>Tesamorelin</t>
        </is>
      </c>
      <c r="B21" s="20" t="inlineStr">
        <is>
          <t>5mg</t>
        </is>
      </c>
      <c r="C21" s="6" t="n">
        <v>45</v>
      </c>
      <c r="D21" s="8" t="n">
        <v>43</v>
      </c>
      <c r="E21" s="12" t="inlineStr">
        <is>
          <t>—</t>
        </is>
      </c>
      <c r="F21" s="12" t="inlineStr">
        <is>
          <t>—</t>
        </is>
      </c>
      <c r="G21" s="12" t="inlineStr">
        <is>
          <t>—</t>
        </is>
      </c>
      <c r="H21" s="6" t="n">
        <v>45</v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</row>
    <row r="22">
      <c r="A22" s="18" t="inlineStr">
        <is>
          <t>Tesamorelin</t>
        </is>
      </c>
      <c r="B22" s="18" t="inlineStr">
        <is>
          <t>10mg</t>
        </is>
      </c>
      <c r="C22" s="8" t="n">
        <v>45</v>
      </c>
      <c r="D22" s="11" t="n">
        <v>79</v>
      </c>
      <c r="E22" s="12" t="inlineStr">
        <is>
          <t>—</t>
        </is>
      </c>
      <c r="F22" s="11" t="n">
        <v>119</v>
      </c>
      <c r="G22" s="12" t="inlineStr">
        <is>
          <t>—</t>
        </is>
      </c>
      <c r="H22" s="11" t="n">
        <v>65</v>
      </c>
      <c r="I22" s="11" t="n">
        <v>79.98999999999999</v>
      </c>
      <c r="J22" s="12" t="inlineStr">
        <is>
          <t>—</t>
        </is>
      </c>
      <c r="K22" s="19" t="n">
        <v>69.98999999999999</v>
      </c>
    </row>
    <row r="23">
      <c r="A23" s="20" t="inlineStr">
        <is>
          <t>MOTS-c</t>
        </is>
      </c>
      <c r="B23" s="20" t="inlineStr">
        <is>
          <t>10mg</t>
        </is>
      </c>
      <c r="C23" s="8" t="n">
        <v>38</v>
      </c>
      <c r="D23" s="6" t="n">
        <v>116</v>
      </c>
      <c r="E23" s="12" t="inlineStr">
        <is>
          <t>—</t>
        </is>
      </c>
      <c r="F23" s="12" t="inlineStr">
        <is>
          <t>—</t>
        </is>
      </c>
      <c r="G23" s="12" t="inlineStr">
        <is>
          <t>—</t>
        </is>
      </c>
      <c r="H23" s="6" t="n">
        <v>40</v>
      </c>
      <c r="I23" s="6" t="n">
        <v>49.99</v>
      </c>
      <c r="J23" s="12" t="inlineStr">
        <is>
          <t>—</t>
        </is>
      </c>
      <c r="K23" s="19" t="n">
        <v>44.99</v>
      </c>
    </row>
    <row r="24">
      <c r="A24" s="18" t="inlineStr">
        <is>
          <t>MOTS-c</t>
        </is>
      </c>
      <c r="B24" s="18" t="inlineStr">
        <is>
          <t>40mg</t>
        </is>
      </c>
      <c r="C24" s="11" t="n">
        <v>115</v>
      </c>
      <c r="D24" s="12" t="inlineStr">
        <is>
          <t>—</t>
        </is>
      </c>
      <c r="E24" s="12" t="inlineStr">
        <is>
          <t>—</t>
        </is>
      </c>
      <c r="F24" s="12" t="inlineStr">
        <is>
          <t>—</t>
        </is>
      </c>
      <c r="G24" s="12" t="inlineStr">
        <is>
          <t>—</t>
        </is>
      </c>
      <c r="H24" s="8" t="n">
        <v>100</v>
      </c>
      <c r="I24" s="12" t="inlineStr">
        <is>
          <t>—</t>
        </is>
      </c>
      <c r="J24" s="12" t="inlineStr">
        <is>
          <t>—</t>
        </is>
      </c>
      <c r="K24" s="19" t="n">
        <v>109.99</v>
      </c>
    </row>
    <row r="25">
      <c r="A25" s="20" t="inlineStr">
        <is>
          <t>SS-31</t>
        </is>
      </c>
      <c r="B25" s="20" t="inlineStr">
        <is>
          <t>10mg</t>
        </is>
      </c>
      <c r="C25" s="8" t="n">
        <v>45</v>
      </c>
      <c r="D25" s="12" t="inlineStr">
        <is>
          <t>—</t>
        </is>
      </c>
      <c r="E25" s="12" t="inlineStr">
        <is>
          <t>—</t>
        </is>
      </c>
      <c r="F25" s="12" t="inlineStr">
        <is>
          <t>—</t>
        </is>
      </c>
      <c r="G25" s="12" t="inlineStr">
        <is>
          <t>—</t>
        </is>
      </c>
      <c r="H25" s="12" t="inlineStr">
        <is>
          <t>—</t>
        </is>
      </c>
      <c r="I25" s="6" t="n">
        <v>69.98999999999999</v>
      </c>
      <c r="J25" s="12" t="inlineStr">
        <is>
          <t>—</t>
        </is>
      </c>
      <c r="K25" s="19" t="n">
        <v>59.99</v>
      </c>
    </row>
    <row r="26">
      <c r="A26" s="18" t="inlineStr">
        <is>
          <t>SS-31</t>
        </is>
      </c>
      <c r="B26" s="18" t="inlineStr">
        <is>
          <t>50mg</t>
        </is>
      </c>
      <c r="C26" s="8" t="n">
        <v>45</v>
      </c>
      <c r="D26" s="12" t="inlineStr">
        <is>
          <t>—</t>
        </is>
      </c>
      <c r="E26" s="12" t="inlineStr">
        <is>
          <t>—</t>
        </is>
      </c>
      <c r="F26" s="12" t="inlineStr">
        <is>
          <t>—</t>
        </is>
      </c>
      <c r="G26" s="12" t="inlineStr">
        <is>
          <t>—</t>
        </is>
      </c>
      <c r="H26" s="12" t="inlineStr">
        <is>
          <t>—</t>
        </is>
      </c>
      <c r="I26" s="12" t="inlineStr">
        <is>
          <t>—</t>
        </is>
      </c>
      <c r="J26" s="12" t="inlineStr">
        <is>
          <t>—</t>
        </is>
      </c>
      <c r="K26" s="19" t="n">
        <v>199.99</v>
      </c>
    </row>
    <row r="27">
      <c r="A27" s="20" t="inlineStr">
        <is>
          <t>GLOW</t>
        </is>
      </c>
      <c r="B27" s="20" t="inlineStr">
        <is>
          <t>70mg</t>
        </is>
      </c>
      <c r="C27" s="8" t="n">
        <v>89</v>
      </c>
      <c r="D27" s="12" t="inlineStr">
        <is>
          <t>—</t>
        </is>
      </c>
      <c r="E27" s="12" t="inlineStr">
        <is>
          <t>—</t>
        </is>
      </c>
      <c r="F27" s="12" t="inlineStr">
        <is>
          <t>—</t>
        </is>
      </c>
      <c r="G27" s="12" t="inlineStr">
        <is>
          <t>—</t>
        </is>
      </c>
      <c r="H27" s="6" t="n">
        <v>95</v>
      </c>
      <c r="I27" s="6" t="n">
        <v>129.99</v>
      </c>
      <c r="J27" s="12" t="inlineStr">
        <is>
          <t>—</t>
        </is>
      </c>
      <c r="K27" s="19" t="n">
        <v>89.98999999999999</v>
      </c>
    </row>
    <row r="28">
      <c r="A28" s="18" t="inlineStr">
        <is>
          <t>KLOW</t>
        </is>
      </c>
      <c r="B28" s="18" t="inlineStr">
        <is>
          <t>80mg</t>
        </is>
      </c>
      <c r="C28" s="11" t="n">
        <v>109</v>
      </c>
      <c r="D28" s="12" t="inlineStr">
        <is>
          <t>—</t>
        </is>
      </c>
      <c r="E28" s="12" t="inlineStr">
        <is>
          <t>—</t>
        </is>
      </c>
      <c r="F28" s="12" t="inlineStr">
        <is>
          <t>—</t>
        </is>
      </c>
      <c r="G28" s="12" t="inlineStr">
        <is>
          <t>—</t>
        </is>
      </c>
      <c r="H28" s="11" t="n">
        <v>120</v>
      </c>
      <c r="I28" s="11" t="n">
        <v>149.99</v>
      </c>
      <c r="J28" s="8" t="n">
        <v>76.3</v>
      </c>
      <c r="K28" s="19" t="n">
        <v>119.99</v>
      </c>
    </row>
    <row r="29">
      <c r="A29" s="20" t="inlineStr">
        <is>
          <t>Melanotan 2</t>
        </is>
      </c>
      <c r="B29" s="20" t="inlineStr">
        <is>
          <t>10mg</t>
        </is>
      </c>
      <c r="C29" s="6" t="n">
        <v>35</v>
      </c>
      <c r="D29" s="6" t="n">
        <v>41</v>
      </c>
      <c r="E29" s="12" t="inlineStr">
        <is>
          <t>—</t>
        </is>
      </c>
      <c r="F29" s="12" t="inlineStr">
        <is>
          <t>—</t>
        </is>
      </c>
      <c r="G29" s="8" t="n">
        <v>29.99</v>
      </c>
      <c r="H29" s="12" t="inlineStr">
        <is>
          <t>—</t>
        </is>
      </c>
      <c r="I29" s="6" t="n">
        <v>39.99</v>
      </c>
      <c r="J29" s="12" t="inlineStr">
        <is>
          <t>—</t>
        </is>
      </c>
      <c r="K29" s="19" t="n">
        <v>34.99</v>
      </c>
    </row>
    <row r="30">
      <c r="A30" s="18" t="inlineStr">
        <is>
          <t>Epithalon</t>
        </is>
      </c>
      <c r="B30" s="18" t="inlineStr">
        <is>
          <t>10mg</t>
        </is>
      </c>
      <c r="C30" s="8" t="n">
        <v>35</v>
      </c>
      <c r="D30" s="12" t="inlineStr">
        <is>
          <t>—</t>
        </is>
      </c>
      <c r="E30" s="11" t="n">
        <v>94</v>
      </c>
      <c r="F30" s="12" t="inlineStr">
        <is>
          <t>—</t>
        </is>
      </c>
      <c r="G30" s="12" t="inlineStr">
        <is>
          <t>—</t>
        </is>
      </c>
      <c r="H30" s="11" t="n">
        <v>35</v>
      </c>
      <c r="I30" s="11" t="n">
        <v>119.99</v>
      </c>
      <c r="J30" s="12" t="inlineStr">
        <is>
          <t>—</t>
        </is>
      </c>
      <c r="K30" s="12" t="inlineStr">
        <is>
          <t>—</t>
        </is>
      </c>
    </row>
    <row r="31">
      <c r="A31" s="20" t="inlineStr">
        <is>
          <t>NAD+</t>
        </is>
      </c>
      <c r="B31" s="20" t="inlineStr">
        <is>
          <t>500mg</t>
        </is>
      </c>
      <c r="C31" s="8" t="n">
        <v>44</v>
      </c>
      <c r="D31" s="12" t="inlineStr">
        <is>
          <t>—</t>
        </is>
      </c>
      <c r="E31" s="12" t="inlineStr">
        <is>
          <t>—</t>
        </is>
      </c>
      <c r="F31" s="6" t="n">
        <v>119</v>
      </c>
      <c r="G31" s="12" t="inlineStr">
        <is>
          <t>—</t>
        </is>
      </c>
      <c r="H31" s="6" t="n">
        <v>65</v>
      </c>
      <c r="I31" s="6" t="n">
        <v>59.99</v>
      </c>
      <c r="J31" s="12" t="inlineStr">
        <is>
          <t>—</t>
        </is>
      </c>
      <c r="K31" s="12" t="inlineStr">
        <is>
          <t>—</t>
        </is>
      </c>
    </row>
    <row r="32">
      <c r="A32" s="18" t="inlineStr">
        <is>
          <t>Bac Water</t>
        </is>
      </c>
      <c r="B32" s="18" t="inlineStr">
        <is>
          <t>10-30mL</t>
        </is>
      </c>
      <c r="C32" s="12" t="inlineStr">
        <is>
          <t>—</t>
        </is>
      </c>
      <c r="D32" s="12" t="inlineStr">
        <is>
          <t>—</t>
        </is>
      </c>
      <c r="E32" s="12" t="inlineStr">
        <is>
          <t>—</t>
        </is>
      </c>
      <c r="F32" s="12" t="inlineStr">
        <is>
          <t>—</t>
        </is>
      </c>
      <c r="G32" s="12" t="inlineStr">
        <is>
          <t>—</t>
        </is>
      </c>
      <c r="H32" s="12" t="inlineStr">
        <is>
          <t>—</t>
        </is>
      </c>
      <c r="I32" s="8" t="n">
        <v>26.99</v>
      </c>
      <c r="J32" s="12" t="inlineStr">
        <is>
          <t>—</t>
        </is>
      </c>
      <c r="K32" s="19" t="n">
        <v>14.99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4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45" customWidth="1" min="10" max="10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Variant</t>
        </is>
      </c>
      <c r="D1" s="1" t="inlineStr">
        <is>
          <t>SKU</t>
        </is>
      </c>
      <c r="E1" s="1" t="inlineStr">
        <is>
          <t>Price (USD)</t>
        </is>
      </c>
      <c r="F1" s="1" t="inlineStr">
        <is>
          <t>Category</t>
        </is>
      </c>
      <c r="G1" s="1" t="inlineStr">
        <is>
          <t>Market Low</t>
        </is>
      </c>
      <c r="H1" s="1" t="inlineStr">
        <is>
          <t>Market High</t>
        </is>
      </c>
      <c r="I1" s="1" t="inlineStr">
        <is>
          <t>Position</t>
        </is>
      </c>
      <c r="J1" s="1" t="inlineStr">
        <is>
          <t>Rationale</t>
        </is>
      </c>
    </row>
    <row r="2">
      <c r="A2" s="2" t="n">
        <v>1</v>
      </c>
      <c r="B2" s="2" t="inlineStr">
        <is>
          <t>BPC-157</t>
        </is>
      </c>
      <c r="C2" s="2" t="inlineStr">
        <is>
          <t>5mg</t>
        </is>
      </c>
      <c r="D2" s="2" t="inlineStr">
        <is>
          <t>CL-BPC-0005</t>
        </is>
      </c>
      <c r="E2" s="25">
        <f>HYPERLINK("https://docs.google.com/spreadsheets/d/1c4lzdqa8AYM44dIcCj-N_Bqy86p9d2Cl/edit#gid=0&amp;range=E2", 34.99)</f>
        <v/>
      </c>
      <c r="F2" s="2" t="inlineStr">
        <is>
          <t>Repair</t>
        </is>
      </c>
      <c r="G2" s="14" t="n">
        <v>24.99</v>
      </c>
      <c r="H2" s="14" t="n">
        <v>52</v>
      </c>
      <c r="I2" s="2" t="inlineStr">
        <is>
          <t>Mid-Low</t>
        </is>
      </c>
      <c r="J2" s="2" t="inlineStr">
        <is>
          <t>Between Ion ($29) and Core ($52)</t>
        </is>
      </c>
    </row>
    <row r="3">
      <c r="A3" s="3" t="n">
        <v>2</v>
      </c>
      <c r="B3" s="3" t="n"/>
      <c r="C3" s="3" t="inlineStr">
        <is>
          <t>10mg</t>
        </is>
      </c>
      <c r="D3" s="3" t="inlineStr">
        <is>
          <t>CL-BPC-0010</t>
        </is>
      </c>
      <c r="E3" s="26">
        <f>HYPERLINK("https://docs.google.com/spreadsheets/d/1c4lzdqa8AYM44dIcCj-N_Bqy86p9d2Cl/edit#gid=0&amp;range=E3", 59.99)</f>
        <v/>
      </c>
      <c r="F3" s="3" t="n"/>
      <c r="G3" s="16" t="n">
        <v>29</v>
      </c>
      <c r="H3" s="16" t="n">
        <v>97</v>
      </c>
      <c r="I3" s="3" t="inlineStr">
        <is>
          <t>Mid</t>
        </is>
      </c>
      <c r="J3" s="3" t="inlineStr">
        <is>
          <t>Below Core ($97), above Ion ($29)</t>
        </is>
      </c>
    </row>
    <row r="4">
      <c r="A4" s="2" t="n">
        <v>3</v>
      </c>
      <c r="B4" s="2" t="inlineStr">
        <is>
          <t>TB-500</t>
        </is>
      </c>
      <c r="C4" s="2" t="inlineStr">
        <is>
          <t>5mg</t>
        </is>
      </c>
      <c r="D4" s="2" t="inlineStr">
        <is>
          <t>CL-TB5-0005</t>
        </is>
      </c>
      <c r="E4" s="25">
        <f>HYPERLINK("https://docs.google.com/spreadsheets/d/1c4lzdqa8AYM44dIcCj-N_Bqy86p9d2Cl/edit#gid=0&amp;range=E4", 39.99)</f>
        <v/>
      </c>
      <c r="F4" s="2" t="inlineStr">
        <is>
          <t>Repair</t>
        </is>
      </c>
      <c r="G4" s="14" t="n">
        <v>29</v>
      </c>
      <c r="H4" s="14" t="n">
        <v>78</v>
      </c>
      <c r="I4" s="2" t="inlineStr">
        <is>
          <t>Mid-Low</t>
        </is>
      </c>
      <c r="J4" s="2" t="inlineStr">
        <is>
          <t>Below Core ($78), above Ion ($29)</t>
        </is>
      </c>
    </row>
    <row r="5">
      <c r="A5" s="3" t="n">
        <v>4</v>
      </c>
      <c r="B5" s="3" t="n"/>
      <c r="C5" s="3" t="inlineStr">
        <is>
          <t>10mg</t>
        </is>
      </c>
      <c r="D5" s="3" t="inlineStr">
        <is>
          <t>CL-TB5-0010</t>
        </is>
      </c>
      <c r="E5" s="26">
        <f>HYPERLINK("https://docs.google.com/spreadsheets/d/1c4lzdqa8AYM44dIcCj-N_Bqy86p9d2Cl/edit#gid=0&amp;range=E5", 69.99)</f>
        <v/>
      </c>
      <c r="F5" s="3" t="n"/>
      <c r="G5" s="16" t="n">
        <v>29</v>
      </c>
      <c r="H5" s="16" t="n">
        <v>140</v>
      </c>
      <c r="I5" s="3" t="inlineStr">
        <is>
          <t>Mid</t>
        </is>
      </c>
      <c r="J5" s="3" t="inlineStr">
        <is>
          <t>Below Core ($140), near MHC ($59.99)</t>
        </is>
      </c>
    </row>
    <row r="6">
      <c r="A6" s="2" t="n">
        <v>5</v>
      </c>
      <c r="B6" s="2" t="inlineStr">
        <is>
          <t>GHK-Cu</t>
        </is>
      </c>
      <c r="C6" s="2" t="inlineStr">
        <is>
          <t>50mg</t>
        </is>
      </c>
      <c r="D6" s="2" t="inlineStr">
        <is>
          <t>CL-GHK-0050</t>
        </is>
      </c>
      <c r="E6" s="25">
        <f>HYPERLINK("https://docs.google.com/spreadsheets/d/1c4lzdqa8AYM44dIcCj-N_Bqy86p9d2Cl/edit#gid=0&amp;range=E6", 39.99)</f>
        <v/>
      </c>
      <c r="F6" s="2" t="inlineStr">
        <is>
          <t>Repair</t>
        </is>
      </c>
      <c r="G6" s="14" t="n">
        <v>29</v>
      </c>
      <c r="H6" s="14" t="n">
        <v>58</v>
      </c>
      <c r="I6" s="2" t="inlineStr">
        <is>
          <t>Mid-Low</t>
        </is>
      </c>
      <c r="J6" s="2" t="inlineStr">
        <is>
          <t>Competitive with Ion ($29) and MHC ($49.99)</t>
        </is>
      </c>
    </row>
    <row r="7">
      <c r="A7" s="3" t="n">
        <v>6</v>
      </c>
      <c r="B7" s="3" t="n"/>
      <c r="C7" s="3" t="inlineStr">
        <is>
          <t>100mg</t>
        </is>
      </c>
      <c r="D7" s="3" t="inlineStr">
        <is>
          <t>CL-GHK-0100</t>
        </is>
      </c>
      <c r="E7" s="26">
        <f>HYPERLINK("https://docs.google.com/spreadsheets/d/1c4lzdqa8AYM44dIcCj-N_Bqy86p9d2Cl/edit#gid=0&amp;range=E7", 69.99)</f>
        <v/>
      </c>
      <c r="F7" s="3" t="n"/>
      <c r="G7" s="16" t="n">
        <v>29</v>
      </c>
      <c r="H7" s="16" t="n">
        <v>197</v>
      </c>
      <c r="I7" s="3" t="inlineStr">
        <is>
          <t>Mid-Low</t>
        </is>
      </c>
      <c r="J7" s="3" t="inlineStr">
        <is>
          <t>Well below Core ($197)</t>
        </is>
      </c>
    </row>
    <row r="8">
      <c r="A8" s="2" t="n">
        <v>7</v>
      </c>
      <c r="B8" s="2" t="inlineStr">
        <is>
          <t>Wolverine</t>
        </is>
      </c>
      <c r="C8" s="2" t="inlineStr">
        <is>
          <t>5mg</t>
        </is>
      </c>
      <c r="D8" s="2" t="inlineStr">
        <is>
          <t>CL-WLV-0005</t>
        </is>
      </c>
      <c r="E8" s="25">
        <f>HYPERLINK("https://docs.google.com/spreadsheets/d/1c4lzdqa8AYM44dIcCj-N_Bqy86p9d2Cl/edit#gid=0&amp;range=E8", 69.99)</f>
        <v/>
      </c>
      <c r="F8" s="2" t="inlineStr">
        <is>
          <t>Repair</t>
        </is>
      </c>
      <c r="G8" s="14" t="n">
        <v>48</v>
      </c>
      <c r="H8" s="14" t="n">
        <v>150</v>
      </c>
      <c r="I8" s="2" t="inlineStr">
        <is>
          <t>Value</t>
        </is>
      </c>
      <c r="J8" s="2" t="inlineStr">
        <is>
          <t>Between Ion ($48) and Flawless ($150)</t>
        </is>
      </c>
    </row>
    <row r="9">
      <c r="A9" s="3" t="n">
        <v>8</v>
      </c>
      <c r="B9" s="3" t="n"/>
      <c r="C9" s="3" t="inlineStr">
        <is>
          <t>10mg</t>
        </is>
      </c>
      <c r="D9" s="3" t="inlineStr">
        <is>
          <t>CL-WLV-0010</t>
        </is>
      </c>
      <c r="E9" s="26">
        <f>HYPERLINK("https://docs.google.com/spreadsheets/d/1c4lzdqa8AYM44dIcCj-N_Bqy86p9d2Cl/edit#gid=0&amp;range=E9", 99.99)</f>
        <v/>
      </c>
      <c r="F9" s="3" t="n"/>
      <c r="G9" s="16" t="n">
        <v>48</v>
      </c>
      <c r="H9" s="16" t="n">
        <v>195</v>
      </c>
      <c r="I9" s="3" t="inlineStr">
        <is>
          <t>Value</t>
        </is>
      </c>
      <c r="J9" s="3" t="inlineStr">
        <is>
          <t>In line with market ($60-$195)</t>
        </is>
      </c>
    </row>
    <row r="10">
      <c r="A10" s="2" t="n">
        <v>9</v>
      </c>
      <c r="B10" s="2" t="inlineStr">
        <is>
          <t>GLP1-S</t>
        </is>
      </c>
      <c r="C10" s="2" t="inlineStr">
        <is>
          <t>10mg</t>
        </is>
      </c>
      <c r="D10" s="2" t="inlineStr">
        <is>
          <t>CL-GL1-0010</t>
        </is>
      </c>
      <c r="E10" s="25">
        <f>HYPERLINK("https://docs.google.com/spreadsheets/d/1c4lzdqa8AYM44dIcCj-N_Bqy86p9d2Cl/edit#gid=0&amp;range=E10", 69.99)</f>
        <v/>
      </c>
      <c r="F10" s="2" t="inlineStr">
        <is>
          <t>Metabolic</t>
        </is>
      </c>
      <c r="G10" s="14" t="n">
        <v>39</v>
      </c>
      <c r="H10" s="14" t="n">
        <v>85</v>
      </c>
      <c r="I10" s="2" t="inlineStr">
        <is>
          <t>Mid</t>
        </is>
      </c>
      <c r="J10" s="2" t="inlineStr">
        <is>
          <t>Match MHC ($69.99), below Flawless ($85)</t>
        </is>
      </c>
    </row>
    <row r="11">
      <c r="A11" s="3" t="n">
        <v>10</v>
      </c>
      <c r="B11" s="3" t="n"/>
      <c r="C11" s="3" t="inlineStr">
        <is>
          <t>20mg</t>
        </is>
      </c>
      <c r="D11" s="3" t="inlineStr">
        <is>
          <t>CL-GL1-0020</t>
        </is>
      </c>
      <c r="E11" s="26">
        <f>HYPERLINK("https://docs.google.com/spreadsheets/d/1c4lzdqa8AYM44dIcCj-N_Bqy86p9d2Cl/edit#gid=0&amp;range=E11", 119.99)</f>
        <v/>
      </c>
      <c r="F11" s="3" t="n"/>
      <c r="G11" s="16" t="n">
        <v>39</v>
      </c>
      <c r="H11" s="3" t="inlineStr">
        <is>
          <t>—</t>
        </is>
      </c>
      <c r="I11" s="3" t="inlineStr">
        <is>
          <t>Value</t>
        </is>
      </c>
      <c r="J11" s="3" t="inlineStr">
        <is>
          <t>Few competitors offer 20mg</t>
        </is>
      </c>
    </row>
    <row r="12">
      <c r="A12" s="2" t="n">
        <v>11</v>
      </c>
      <c r="B12" s="2" t="n"/>
      <c r="C12" s="2" t="inlineStr">
        <is>
          <t>30mg</t>
        </is>
      </c>
      <c r="D12" s="2" t="inlineStr">
        <is>
          <t>CL-GL1-0030</t>
        </is>
      </c>
      <c r="E12" s="25">
        <f>HYPERLINK("https://docs.google.com/spreadsheets/d/1c4lzdqa8AYM44dIcCj-N_Bqy86p9d2Cl/edit#gid=0&amp;range=E12", 159.99)</f>
        <v/>
      </c>
      <c r="F12" s="2" t="n"/>
      <c r="G12" s="14" t="n">
        <v>39</v>
      </c>
      <c r="H12" s="2" t="inlineStr">
        <is>
          <t>—</t>
        </is>
      </c>
      <c r="I12" s="2" t="inlineStr">
        <is>
          <t>Value</t>
        </is>
      </c>
      <c r="J12" s="2" t="inlineStr">
        <is>
          <t>Strong value for 3x size</t>
        </is>
      </c>
    </row>
    <row r="13">
      <c r="A13" s="3" t="n">
        <v>12</v>
      </c>
      <c r="B13" s="3" t="inlineStr">
        <is>
          <t>GLP2-T</t>
        </is>
      </c>
      <c r="C13" s="3" t="inlineStr">
        <is>
          <t>10mg</t>
        </is>
      </c>
      <c r="D13" s="3" t="inlineStr">
        <is>
          <t>CL-GL2-0010</t>
        </is>
      </c>
      <c r="E13" s="26">
        <f>HYPERLINK("https://docs.google.com/spreadsheets/d/1c4lzdqa8AYM44dIcCj-N_Bqy86p9d2Cl/edit#gid=0&amp;range=E13", 79.99)</f>
        <v/>
      </c>
      <c r="F13" s="3" t="inlineStr">
        <is>
          <t>Metabolic</t>
        </is>
      </c>
      <c r="G13" s="16" t="n">
        <v>49</v>
      </c>
      <c r="H13" s="16" t="n">
        <v>89.98999999999999</v>
      </c>
      <c r="I13" s="3" t="inlineStr">
        <is>
          <t>Mid</t>
        </is>
      </c>
      <c r="J13" s="3" t="inlineStr">
        <is>
          <t>Between Ion ($49) and MHC ($89.99)</t>
        </is>
      </c>
    </row>
    <row r="14">
      <c r="A14" s="2" t="n">
        <v>13</v>
      </c>
      <c r="B14" s="2" t="n"/>
      <c r="C14" s="2" t="inlineStr">
        <is>
          <t>20mg</t>
        </is>
      </c>
      <c r="D14" s="2" t="inlineStr">
        <is>
          <t>CL-GL2-0020</t>
        </is>
      </c>
      <c r="E14" s="25">
        <f>HYPERLINK("https://docs.google.com/spreadsheets/d/1c4lzdqa8AYM44dIcCj-N_Bqy86p9d2Cl/edit#gid=0&amp;range=E14", 139.99)</f>
        <v/>
      </c>
      <c r="F14" s="2" t="n"/>
      <c r="G14" s="14" t="n">
        <v>49</v>
      </c>
      <c r="H14" s="14" t="n">
        <v>104.99</v>
      </c>
      <c r="I14" s="2" t="inlineStr">
        <is>
          <t>Mid</t>
        </is>
      </c>
      <c r="J14" s="2" t="inlineStr">
        <is>
          <t>Competitive with Purgo ($104.99)</t>
        </is>
      </c>
    </row>
    <row r="15">
      <c r="A15" s="3" t="n">
        <v>14</v>
      </c>
      <c r="B15" s="3" t="n"/>
      <c r="C15" s="3" t="inlineStr">
        <is>
          <t>30mg</t>
        </is>
      </c>
      <c r="D15" s="3" t="inlineStr">
        <is>
          <t>CL-GL2-0030</t>
        </is>
      </c>
      <c r="E15" s="26">
        <f>HYPERLINK("https://docs.google.com/spreadsheets/d/1c4lzdqa8AYM44dIcCj-N_Bqy86p9d2Cl/edit#gid=0&amp;range=E15", 189.99)</f>
        <v/>
      </c>
      <c r="F15" s="3" t="n"/>
      <c r="G15" s="16" t="n">
        <v>49</v>
      </c>
      <c r="H15" s="16" t="n">
        <v>150</v>
      </c>
      <c r="I15" s="3" t="inlineStr">
        <is>
          <t>Mid</t>
        </is>
      </c>
      <c r="J15" s="3" t="inlineStr">
        <is>
          <t>Per-mg value vs Flawless ($150/30mg)</t>
        </is>
      </c>
    </row>
    <row r="16">
      <c r="A16" s="2" t="n">
        <v>15</v>
      </c>
      <c r="B16" s="2" t="inlineStr">
        <is>
          <t>GLP3-R</t>
        </is>
      </c>
      <c r="C16" s="2" t="inlineStr">
        <is>
          <t>10mg</t>
        </is>
      </c>
      <c r="D16" s="2" t="inlineStr">
        <is>
          <t>CL-GL3-0010</t>
        </is>
      </c>
      <c r="E16" s="25">
        <f>HYPERLINK("https://docs.google.com/spreadsheets/d/1c4lzdqa8AYM44dIcCj-N_Bqy86p9d2Cl/edit#gid=0&amp;range=E16", 79.99)</f>
        <v/>
      </c>
      <c r="F16" s="2" t="inlineStr">
        <is>
          <t>Metabolic</t>
        </is>
      </c>
      <c r="G16" s="14" t="n">
        <v>39</v>
      </c>
      <c r="H16" s="14" t="n">
        <v>100</v>
      </c>
      <c r="I16" s="2" t="inlineStr">
        <is>
          <t>Mid</t>
        </is>
      </c>
      <c r="J16" s="2" t="inlineStr">
        <is>
          <t>Between Ion ($39) and Flawless ($100)</t>
        </is>
      </c>
    </row>
    <row r="17">
      <c r="A17" s="3" t="n">
        <v>16</v>
      </c>
      <c r="B17" s="3" t="n"/>
      <c r="C17" s="3" t="inlineStr">
        <is>
          <t>20mg</t>
        </is>
      </c>
      <c r="D17" s="3" t="inlineStr">
        <is>
          <t>CL-GL3-0020</t>
        </is>
      </c>
      <c r="E17" s="26">
        <f>HYPERLINK("https://docs.google.com/spreadsheets/d/1c4lzdqa8AYM44dIcCj-N_Bqy86p9d2Cl/edit#gid=0&amp;range=E17", 149.99)</f>
        <v/>
      </c>
      <c r="F17" s="3" t="n"/>
      <c r="G17" s="16" t="n">
        <v>39</v>
      </c>
      <c r="H17" s="16" t="n">
        <v>150</v>
      </c>
      <c r="I17" s="3" t="inlineStr">
        <is>
          <t>Mid</t>
        </is>
      </c>
      <c r="J17" s="3" t="inlineStr">
        <is>
          <t>Between Purgo ($124.99) and Flawless ($150)</t>
        </is>
      </c>
    </row>
    <row r="18">
      <c r="A18" s="2" t="n">
        <v>17</v>
      </c>
      <c r="B18" s="2" t="n"/>
      <c r="C18" s="2" t="inlineStr">
        <is>
          <t>30mg</t>
        </is>
      </c>
      <c r="D18" s="2" t="inlineStr">
        <is>
          <t>CL-GL3-0030</t>
        </is>
      </c>
      <c r="E18" s="25">
        <f>HYPERLINK("https://docs.google.com/spreadsheets/d/1c4lzdqa8AYM44dIcCj-N_Bqy86p9d2Cl/edit#gid=0&amp;range=E18", 219.99)</f>
        <v/>
      </c>
      <c r="F18" s="2" t="n"/>
      <c r="G18" s="14" t="n">
        <v>39</v>
      </c>
      <c r="H18" s="14" t="n">
        <v>249.99</v>
      </c>
      <c r="I18" s="2" t="inlineStr">
        <is>
          <t>Mid</t>
        </is>
      </c>
      <c r="J18" s="2" t="inlineStr">
        <is>
          <t>Below MHC ($249.99)</t>
        </is>
      </c>
    </row>
    <row r="19">
      <c r="A19" s="3" t="n">
        <v>18</v>
      </c>
      <c r="B19" s="3" t="inlineStr">
        <is>
          <t>Ipamorelin</t>
        </is>
      </c>
      <c r="C19" s="3" t="inlineStr">
        <is>
          <t>5mg</t>
        </is>
      </c>
      <c r="D19" s="3" t="inlineStr">
        <is>
          <t>CL-IPM-0005</t>
        </is>
      </c>
      <c r="E19" s="26">
        <f>HYPERLINK("https://docs.google.com/spreadsheets/d/1c4lzdqa8AYM44dIcCj-N_Bqy86p9d2Cl/edit#gid=0&amp;range=E19", 34.99)</f>
        <v/>
      </c>
      <c r="F19" s="3" t="inlineStr">
        <is>
          <t>GH Axis</t>
        </is>
      </c>
      <c r="G19" s="16" t="n">
        <v>35</v>
      </c>
      <c r="H19" s="16" t="n">
        <v>43</v>
      </c>
      <c r="I19" s="3" t="inlineStr">
        <is>
          <t>Low-Mid</t>
        </is>
      </c>
      <c r="J19" s="3" t="inlineStr">
        <is>
          <t>Match Ion ($35), below Core ($43)</t>
        </is>
      </c>
    </row>
    <row r="20">
      <c r="A20" s="2" t="n">
        <v>19</v>
      </c>
      <c r="B20" s="2" t="n"/>
      <c r="C20" s="2" t="inlineStr">
        <is>
          <t>10mg</t>
        </is>
      </c>
      <c r="D20" s="2" t="inlineStr">
        <is>
          <t>CL-IPM-0010</t>
        </is>
      </c>
      <c r="E20" s="25">
        <f>HYPERLINK("https://docs.google.com/spreadsheets/d/1c4lzdqa8AYM44dIcCj-N_Bqy86p9d2Cl/edit#gid=0&amp;range=E20", 54.99)</f>
        <v/>
      </c>
      <c r="F20" s="2" t="n"/>
      <c r="G20" s="14" t="n">
        <v>35</v>
      </c>
      <c r="H20" s="14" t="n">
        <v>60</v>
      </c>
      <c r="I20" s="2" t="inlineStr">
        <is>
          <t>Mid</t>
        </is>
      </c>
      <c r="J20" s="2" t="inlineStr">
        <is>
          <t>Between Ion ($35) and Flawless ($60)</t>
        </is>
      </c>
    </row>
    <row r="21">
      <c r="A21" s="3" t="n">
        <v>20</v>
      </c>
      <c r="B21" s="3" t="inlineStr">
        <is>
          <t>Tesamorelin</t>
        </is>
      </c>
      <c r="C21" s="3" t="inlineStr">
        <is>
          <t>10mg</t>
        </is>
      </c>
      <c r="D21" s="3" t="inlineStr">
        <is>
          <t>CL-TES-0010</t>
        </is>
      </c>
      <c r="E21" s="26">
        <f>HYPERLINK("https://docs.google.com/spreadsheets/d/1c4lzdqa8AYM44dIcCj-N_Bqy86p9d2Cl/edit#gid=0&amp;range=E21", 69.99)</f>
        <v/>
      </c>
      <c r="F21" s="3" t="inlineStr">
        <is>
          <t>GH Axis</t>
        </is>
      </c>
      <c r="G21" s="16" t="n">
        <v>43</v>
      </c>
      <c r="H21" s="16" t="n">
        <v>119</v>
      </c>
      <c r="I21" s="3" t="inlineStr">
        <is>
          <t>Value</t>
        </is>
      </c>
      <c r="J21" s="3" t="inlineStr">
        <is>
          <t>Between Core ($79) and MHC ($79.99)</t>
        </is>
      </c>
    </row>
    <row r="22">
      <c r="A22" s="2" t="n">
        <v>21</v>
      </c>
      <c r="B22" s="2" t="n"/>
      <c r="C22" s="2" t="inlineStr">
        <is>
          <t>20mg</t>
        </is>
      </c>
      <c r="D22" s="2" t="inlineStr">
        <is>
          <t>CL-TES-0020</t>
        </is>
      </c>
      <c r="E22" s="25">
        <f>HYPERLINK("https://docs.google.com/spreadsheets/d/1c4lzdqa8AYM44dIcCj-N_Bqy86p9d2Cl/edit#gid=0&amp;range=E22", 119.99)</f>
        <v/>
      </c>
      <c r="F22" s="2" t="n"/>
      <c r="G22" s="2" t="inlineStr">
        <is>
          <t>—</t>
        </is>
      </c>
      <c r="H22" s="2" t="inlineStr">
        <is>
          <t>—</t>
        </is>
      </c>
      <c r="I22" s="2" t="inlineStr">
        <is>
          <t>Value</t>
        </is>
      </c>
      <c r="J22" s="2" t="inlineStr">
        <is>
          <t>Unique 20mg size, no direct comp</t>
        </is>
      </c>
    </row>
    <row r="23">
      <c r="A23" s="3" t="n">
        <v>22</v>
      </c>
      <c r="B23" s="3" t="inlineStr">
        <is>
          <t>MOTS-c</t>
        </is>
      </c>
      <c r="C23" s="3" t="inlineStr">
        <is>
          <t>10mg</t>
        </is>
      </c>
      <c r="D23" s="3" t="inlineStr">
        <is>
          <t>CL-MOT-0010</t>
        </is>
      </c>
      <c r="E23" s="26">
        <f>HYPERLINK("https://docs.google.com/spreadsheets/d/1c4lzdqa8AYM44dIcCj-N_Bqy86p9d2Cl/edit#gid=0&amp;range=E23", 44.99)</f>
        <v/>
      </c>
      <c r="F23" s="3" t="inlineStr">
        <is>
          <t>Longevity</t>
        </is>
      </c>
      <c r="G23" s="16" t="n">
        <v>38</v>
      </c>
      <c r="H23" s="16" t="n">
        <v>116</v>
      </c>
      <c r="I23" s="3" t="inlineStr">
        <is>
          <t>Mid-Low</t>
        </is>
      </c>
      <c r="J23" s="3" t="inlineStr">
        <is>
          <t>Between Ion ($38) and MHC ($49.99)</t>
        </is>
      </c>
    </row>
    <row r="24">
      <c r="A24" s="2" t="n">
        <v>23</v>
      </c>
      <c r="B24" s="2" t="n"/>
      <c r="C24" s="2" t="inlineStr">
        <is>
          <t>40mg</t>
        </is>
      </c>
      <c r="D24" s="2" t="inlineStr">
        <is>
          <t>CL-MOT-0040</t>
        </is>
      </c>
      <c r="E24" s="25">
        <f>HYPERLINK("https://docs.google.com/spreadsheets/d/1c4lzdqa8AYM44dIcCj-N_Bqy86p9d2Cl/edit#gid=0&amp;range=E24", 109.99)</f>
        <v/>
      </c>
      <c r="F24" s="2" t="n"/>
      <c r="G24" s="14" t="n">
        <v>100</v>
      </c>
      <c r="H24" s="14" t="n">
        <v>115</v>
      </c>
      <c r="I24" s="2" t="inlineStr">
        <is>
          <t>Mid</t>
        </is>
      </c>
      <c r="J24" s="2" t="inlineStr">
        <is>
          <t>Between Flawless ($100) and Ion ($115)</t>
        </is>
      </c>
    </row>
    <row r="25">
      <c r="A25" s="3" t="n">
        <v>24</v>
      </c>
      <c r="B25" s="3" t="inlineStr">
        <is>
          <t>SS-31</t>
        </is>
      </c>
      <c r="C25" s="3" t="inlineStr">
        <is>
          <t>10mg</t>
        </is>
      </c>
      <c r="D25" s="3" t="inlineStr">
        <is>
          <t>CL-SS3-0010</t>
        </is>
      </c>
      <c r="E25" s="26">
        <f>HYPERLINK("https://docs.google.com/spreadsheets/d/1c4lzdqa8AYM44dIcCj-N_Bqy86p9d2Cl/edit#gid=0&amp;range=E25", 59.99)</f>
        <v/>
      </c>
      <c r="F25" s="3" t="inlineStr">
        <is>
          <t>Longevity</t>
        </is>
      </c>
      <c r="G25" s="16" t="n">
        <v>45</v>
      </c>
      <c r="H25" s="16" t="n">
        <v>69.98999999999999</v>
      </c>
      <c r="I25" s="3" t="inlineStr">
        <is>
          <t>Mid</t>
        </is>
      </c>
      <c r="J25" s="3" t="inlineStr">
        <is>
          <t>Between Ion ($45) and MHC ($69.99)</t>
        </is>
      </c>
    </row>
    <row r="26">
      <c r="A26" s="2" t="n">
        <v>25</v>
      </c>
      <c r="B26" s="2" t="n"/>
      <c r="C26" s="2" t="inlineStr">
        <is>
          <t>50mg</t>
        </is>
      </c>
      <c r="D26" s="2" t="inlineStr">
        <is>
          <t>CL-SS3-0050</t>
        </is>
      </c>
      <c r="E26" s="25">
        <f>HYPERLINK("https://docs.google.com/spreadsheets/d/1c4lzdqa8AYM44dIcCj-N_Bqy86p9d2Cl/edit#gid=0&amp;range=E26", 199.99)</f>
        <v/>
      </c>
      <c r="F26" s="2" t="n"/>
      <c r="G26" s="14" t="n">
        <v>45</v>
      </c>
      <c r="H26" s="2" t="inlineStr">
        <is>
          <t>—</t>
        </is>
      </c>
      <c r="I26" s="2" t="inlineStr">
        <is>
          <t>Value</t>
        </is>
      </c>
      <c r="J26" s="2" t="inlineStr">
        <is>
          <t>Unique 50mg size, strong value</t>
        </is>
      </c>
    </row>
    <row r="27">
      <c r="A27" s="3" t="n">
        <v>26</v>
      </c>
      <c r="B27" s="3" t="inlineStr">
        <is>
          <t>GLOW</t>
        </is>
      </c>
      <c r="C27" s="3" t="inlineStr">
        <is>
          <t>70mg</t>
        </is>
      </c>
      <c r="D27" s="3" t="inlineStr">
        <is>
          <t>CL-GLW-0070</t>
        </is>
      </c>
      <c r="E27" s="26">
        <f>HYPERLINK("https://docs.google.com/spreadsheets/d/1c4lzdqa8AYM44dIcCj-N_Bqy86p9d2Cl/edit#gid=0&amp;range=E27", 89.99)</f>
        <v/>
      </c>
      <c r="F27" s="3" t="inlineStr">
        <is>
          <t>Specialty</t>
        </is>
      </c>
      <c r="G27" s="16" t="n">
        <v>89</v>
      </c>
      <c r="H27" s="16" t="n">
        <v>129.99</v>
      </c>
      <c r="I27" s="3" t="inlineStr">
        <is>
          <t>Value</t>
        </is>
      </c>
      <c r="J27" s="3" t="inlineStr">
        <is>
          <t>Match Ion ($89), below MHC ($129.99)</t>
        </is>
      </c>
    </row>
    <row r="28">
      <c r="A28" s="2" t="n">
        <v>27</v>
      </c>
      <c r="B28" s="2" t="inlineStr">
        <is>
          <t>KLOW</t>
        </is>
      </c>
      <c r="C28" s="2" t="inlineStr">
        <is>
          <t>80mg</t>
        </is>
      </c>
      <c r="D28" s="2" t="inlineStr">
        <is>
          <t>CL-KLW-0080</t>
        </is>
      </c>
      <c r="E28" s="25">
        <f>HYPERLINK("https://docs.google.com/spreadsheets/d/1c4lzdqa8AYM44dIcCj-N_Bqy86p9d2Cl/edit#gid=0&amp;range=E28", 119.99)</f>
        <v/>
      </c>
      <c r="F28" s="2" t="inlineStr">
        <is>
          <t>Specialty</t>
        </is>
      </c>
      <c r="G28" s="14" t="n">
        <v>76.3</v>
      </c>
      <c r="H28" s="14" t="n">
        <v>149.99</v>
      </c>
      <c r="I28" s="2" t="inlineStr">
        <is>
          <t>Mid</t>
        </is>
      </c>
      <c r="J28" s="2" t="inlineStr">
        <is>
          <t>Between Crush ($76) and MHC ($149.99)</t>
        </is>
      </c>
    </row>
    <row r="29">
      <c r="A29" s="3" t="n">
        <v>28</v>
      </c>
      <c r="B29" s="3" t="inlineStr">
        <is>
          <t>Melanotan 2</t>
        </is>
      </c>
      <c r="C29" s="3" t="inlineStr">
        <is>
          <t>10mg</t>
        </is>
      </c>
      <c r="D29" s="3" t="inlineStr">
        <is>
          <t>CL-MT2-0010</t>
        </is>
      </c>
      <c r="E29" s="26">
        <f>HYPERLINK("https://docs.google.com/spreadsheets/d/1c4lzdqa8AYM44dIcCj-N_Bqy86p9d2Cl/edit#gid=0&amp;range=E29", 34.99)</f>
        <v/>
      </c>
      <c r="F29" s="3" t="inlineStr">
        <is>
          <t>Specialty</t>
        </is>
      </c>
      <c r="G29" s="16" t="n">
        <v>29.99</v>
      </c>
      <c r="H29" s="16" t="n">
        <v>41</v>
      </c>
      <c r="I29" s="3" t="inlineStr">
        <is>
          <t>Low-Mid</t>
        </is>
      </c>
      <c r="J29" s="3" t="inlineStr">
        <is>
          <t>Near Ion ($35), below Core ($41)</t>
        </is>
      </c>
    </row>
    <row r="30">
      <c r="A30" s="2" t="n">
        <v>29</v>
      </c>
      <c r="B30" s="2" t="inlineStr">
        <is>
          <t>Bac Water</t>
        </is>
      </c>
      <c r="C30" s="2" t="inlineStr">
        <is>
          <t>3mL</t>
        </is>
      </c>
      <c r="D30" s="2" t="inlineStr">
        <is>
          <t>CL-BAC-0003</t>
        </is>
      </c>
      <c r="E30" s="25">
        <f>HYPERLINK("https://docs.google.com/spreadsheets/d/1c4lzdqa8AYM44dIcCj-N_Bqy86p9d2Cl/edit#gid=0&amp;range=E30", 9.99)</f>
        <v/>
      </c>
      <c r="F30" s="2" t="inlineStr">
        <is>
          <t>Accessory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Low</t>
        </is>
      </c>
      <c r="J30" s="2" t="inlineStr">
        <is>
          <t>Competitive accessory pricing</t>
        </is>
      </c>
    </row>
    <row r="31">
      <c r="A31" s="3" t="n">
        <v>30</v>
      </c>
      <c r="B31" s="3" t="n"/>
      <c r="C31" s="3" t="inlineStr">
        <is>
          <t>10mL</t>
        </is>
      </c>
      <c r="D31" s="3" t="inlineStr">
        <is>
          <t>CL-BAC-0010</t>
        </is>
      </c>
      <c r="E31" s="26">
        <f>HYPERLINK("https://docs.google.com/spreadsheets/d/1c4lzdqa8AYM44dIcCj-N_Bqy86p9d2Cl/edit#gid=0&amp;range=E31", 14.99)</f>
        <v/>
      </c>
      <c r="F31" s="3" t="n"/>
      <c r="G31" s="3" t="inlineStr">
        <is>
          <t>—</t>
        </is>
      </c>
      <c r="H31" s="16" t="n">
        <v>26.99</v>
      </c>
      <c r="I31" s="3" t="inlineStr">
        <is>
          <t>Value</t>
        </is>
      </c>
      <c r="J31" s="3" t="inlineStr">
        <is>
          <t>Well below MHC ($26.99 for 30mL)</t>
        </is>
      </c>
    </row>
    <row r="32">
      <c r="A32" s="23" t="inlineStr">
        <is>
          <t>Total</t>
        </is>
      </c>
      <c r="B32" s="23" t="inlineStr">
        <is>
          <t>15 products, 30 variants</t>
        </is>
      </c>
      <c r="C32" s="18" t="n"/>
      <c r="D32" s="18" t="n"/>
      <c r="E32" s="27">
        <f>HYPERLINK("https://docs.google.com/spreadsheets/d/1c4lzdqa8AYM44dIcCj-N_Bqy86p9d2Cl", "Open launch-skus.xlsx")</f>
        <v/>
      </c>
      <c r="F32" s="18" t="n"/>
      <c r="G32" s="18" t="n"/>
      <c r="H32" s="18" t="n"/>
      <c r="I32" s="18" t="n"/>
      <c r="J32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60" customWidth="1" min="4" max="4"/>
  </cols>
  <sheetData>
    <row r="1">
      <c r="A1" s="1" t="inlineStr">
        <is>
          <t>Competitor</t>
        </is>
      </c>
      <c r="B1" s="1" t="inlineStr">
        <is>
          <t>Discount Structure</t>
        </is>
      </c>
      <c r="C1" s="1" t="inlineStr">
        <is>
          <t>Type</t>
        </is>
      </c>
      <c r="D1" s="1" t="inlineStr">
        <is>
          <t>Details</t>
        </is>
      </c>
    </row>
    <row r="2">
      <c r="A2" s="2" t="inlineStr">
        <is>
          <t>Ion Peptide</t>
        </is>
      </c>
      <c r="B2" s="2" t="inlineStr">
        <is>
          <t>10% off 4-5, 16% off 6-9, 25% off 10+</t>
        </is>
      </c>
      <c r="C2" s="2" t="inlineStr">
        <is>
          <t>Per-product quantity tiers</t>
        </is>
      </c>
      <c r="D2" s="2" t="inlineStr">
        <is>
          <t>Applied per product page, shown in table. Also offers institutional/bulk pricing.</t>
        </is>
      </c>
    </row>
    <row r="3">
      <c r="A3" s="3" t="inlineStr">
        <is>
          <t>Core Peptides</t>
        </is>
      </c>
      <c r="B3" s="3" t="inlineStr">
        <is>
          <t>Bulk pricing tables (varies by product)</t>
        </is>
      </c>
      <c r="C3" s="3" t="inlineStr">
        <is>
          <t>Per-product</t>
        </is>
      </c>
      <c r="D3" s="3" t="inlineStr">
        <is>
          <t>Shown as sale prices on some items; bulk tables on product pages</t>
        </is>
      </c>
    </row>
    <row r="4">
      <c r="A4" s="2" t="inlineStr">
        <is>
          <t>Biotech Peptides</t>
        </is>
      </c>
      <c r="B4" s="2" t="inlineStr">
        <is>
          <t>Bulk pricing tables on each product</t>
        </is>
      </c>
      <c r="C4" s="2" t="inlineStr">
        <is>
          <t>Per-product</t>
        </is>
      </c>
      <c r="D4" s="2" t="inlineStr">
        <is>
          <t>WooCommerce bulk pricing plugin; specific tiers per product</t>
        </is>
      </c>
    </row>
    <row r="5">
      <c r="A5" s="3" t="inlineStr">
        <is>
          <t>Verified Peptides</t>
        </is>
      </c>
      <c r="B5" s="3" t="inlineStr">
        <is>
          <t>Up to 15% order quantity discount</t>
        </is>
      </c>
      <c r="C5" s="3" t="inlineStr">
        <is>
          <t>Order-level</t>
        </is>
      </c>
      <c r="D5" s="3" t="inlineStr">
        <is>
          <t>Not detailed on product pages; likely applied at checkout</t>
        </is>
      </c>
    </row>
    <row r="6">
      <c r="A6" s="2" t="inlineStr">
        <is>
          <t>Purgo Labs</t>
        </is>
      </c>
      <c r="B6" s="2" t="inlineStr">
        <is>
          <t>15% off orders $70+ (promo code APRIL)</t>
        </is>
      </c>
      <c r="C6" s="2" t="inlineStr">
        <is>
          <t>Order-level promo</t>
        </is>
      </c>
      <c r="D6" s="2" t="inlineStr">
        <is>
          <t>Periodic promotional codes; no per-product tiers visible</t>
        </is>
      </c>
    </row>
    <row r="7">
      <c r="A7" s="3" t="inlineStr">
        <is>
          <t>Flawless Compounds</t>
        </is>
      </c>
      <c r="B7" s="3" t="inlineStr">
        <is>
          <t>Points rewards (495-695 pts per product)</t>
        </is>
      </c>
      <c r="C7" s="3" t="inlineStr">
        <is>
          <t>Loyalty program</t>
        </is>
      </c>
      <c r="D7" s="3" t="inlineStr">
        <is>
          <t>Earn points per purchase, redeem for discounts. No direct quantity tiers.</t>
        </is>
      </c>
    </row>
    <row r="8">
      <c r="A8" s="2" t="inlineStr">
        <is>
          <t>Mile High Compounds</t>
        </is>
      </c>
      <c r="B8" s="2" t="inlineStr">
        <is>
          <t>Up to 20% off select peptides, 10% new accounts</t>
        </is>
      </c>
      <c r="C8" s="2" t="inlineStr">
        <is>
          <t>Mixed</t>
        </is>
      </c>
      <c r="D8" s="2" t="inlineStr">
        <is>
          <t>Buy More Save More program; site-wide new account discount</t>
        </is>
      </c>
    </row>
    <row r="9">
      <c r="A9" s="3" t="inlineStr">
        <is>
          <t>Crush Research</t>
        </is>
      </c>
      <c r="B9" s="3" t="inlineStr">
        <is>
          <t>30% off 5-packs vs singles</t>
        </is>
      </c>
      <c r="C9" s="3" t="inlineStr">
        <is>
          <t>Bundle pricing</t>
        </is>
      </c>
      <c r="D9" s="3" t="inlineStr">
        <is>
          <t>5-pack bundles at ~30% discount. E.g. KLOW single $109 vs 5-pack $335.30 ($67/ea)</t>
        </is>
      </c>
    </row>
    <row r="10">
      <c r="A10" s="17" t="inlineStr">
        <is>
          <t>--- CaliLean (Proposed) ---</t>
        </is>
      </c>
      <c r="B10" s="17" t="inlineStr">
        <is>
          <t>10% off 4-5, 15% off 6-9, 20% off 10+</t>
        </is>
      </c>
      <c r="C10" s="17" t="inlineStr">
        <is>
          <t>Per-product quantity tiers</t>
        </is>
      </c>
      <c r="D10" s="17" t="inlineStr">
        <is>
          <t>Match Ion Peptide model. Stack and Save UI on product pages.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2026-05-01T03:43:10Z</dcterms:created>
  <dcterms:modified xmlns:dcterms="http://purl.org/dc/terms/" xmlns:xsi="http://www.w3.org/2001/XMLSchema-instance" xsi:type="dcterms:W3CDTF">2026-05-01T04:19:44Z</dcterms:modified>
</cp:coreProperties>
</file>